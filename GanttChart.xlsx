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bookViews>
  <sheets>
    <sheet name="ProjectSchedule" sheetId="11" r:id="rId1"/>
    <sheet name="About" sheetId="12" r:id="rId2"/>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ProjectSchedule!$C1</definedName>
    <definedName name="task_start" localSheetId="0">ProjectSchedule!$D1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<sst xmlns="http://schemas.openxmlformats.org/spreadsheetml/2006/main" count="52" uniqueCount="51">
  <si>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</si>
  <si>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 xml:space="preserve">COMP 3200 </t>
  </si>
  <si>
    <t>Enter Company Name in cell B2.</t>
  </si>
  <si>
    <t>Enter the name of the Project Lead in cell B3. Enter the Project Start date in cell E3. Pooject Start: label is in cell C3.</t>
  </si>
  <si>
    <t>Wk 1</t>
  </si>
  <si>
    <t>Wk 2</t>
  </si>
  <si>
    <t>Wk 3</t>
  </si>
  <si>
    <t>Wk 4</t>
  </si>
  <si>
    <t>Wk 5</t>
  </si>
  <si>
    <t>Wk 6</t>
  </si>
  <si>
    <t>Wk 7</t>
  </si>
  <si>
    <t>Wk 8</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</si>
  <si>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</si>
  <si>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</si>
  <si>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</si>
  <si>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</si>
  <si>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</si>
  <si>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</si>
  <si>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</si>
  <si>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</si>
  <si>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</si>
  <si>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</si>
  <si>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Title</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</si>
  <si>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</si>
  <si>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getting familiar with Arduino</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</si>
  <si>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</si>
  <si>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First version Code compelet</t>
  </si>
  <si>
    <t>hardware design and assertion</t>
  </si>
  <si>
    <t>hardware implementation</t>
  </si>
  <si>
    <t>code test and adjustment</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</si>
  <si>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</si>
  <si>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Writing report</t>
  </si>
  <si>
    <t>Sample phase title block</t>
  </si>
  <si>
    <t>This is an empty row</t>
  </si>
  <si>
    <t>This row marks the end of the Project Schedule. DO NOT enter anything in this row. 
Insert new rows ABOVE this one to continue building out your Project Schedule.</t>
  </si>
  <si>
    <t>Insert new rows ABOVE this one</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</si>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</sst>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0.00_);_(* \(#,##0.00\);_(* &quot;-&quot;??_);_(@_)"/>
    <numFmt numFmtId="177" formatCode="_-&quot;£&quot;* #,##0.00_-;\-&quot;£&quot;* #,##0.00_-;_-&quot;£&quot;* &quot;-&quot;??_-;_-@_-"/>
    <numFmt numFmtId="178" formatCode="_(* #,##0_);_(* \(#,##0\);_(* &quot;-&quot;_);_(@_)"/>
    <numFmt numFmtId="179" formatCode="_-&quot;£&quot;* #,##0_-;\-&quot;£&quot;* #,##0_-;_-&quot;£&quot;* &quot;-&quot;_-;_-@_-"/>
    <numFmt numFmtId="180" formatCode="d/m/yy;@"/>
    <numFmt numFmtId="181" formatCode="ddd\,\ dd/mm/yyyy"/>
    <numFmt numFmtId="182" formatCode="d\ mmm\ yyyy"/>
    <numFmt numFmtId="183" formatCode="d"/>
  </numFmts>
  <fonts count="33">
    <font>
      <sz val="11"/>
      <color theme="1"/>
      <name val="宋体"/>
      <charset val="134"/>
      <scheme val="minor"/>
    </font>
    <font>
      <b/>
      <sz val="10"/>
      <name val="宋体"/>
      <charset val="134"/>
      <scheme val="minor"/>
    </font>
    <font>
      <sz val="10"/>
      <name val="宋体"/>
      <charset val="134"/>
      <scheme val="minor"/>
    </font>
    <font>
      <sz val="20"/>
      <name val="宋体"/>
      <charset val="134"/>
      <scheme val="major"/>
    </font>
    <font>
      <b/>
      <sz val="12"/>
      <color theme="1" tint="0.349986266670736"/>
      <name val="宋体"/>
      <charset val="134"/>
      <scheme val="minor"/>
    </font>
    <font>
      <sz val="11"/>
      <name val="宋体"/>
      <charset val="134"/>
      <scheme val="minor"/>
    </font>
    <font>
      <sz val="11"/>
      <color theme="1" tint="0.499984740745262"/>
      <name val="宋体"/>
      <charset val="134"/>
      <scheme val="minor"/>
    </font>
    <font>
      <b/>
      <sz val="16"/>
      <color theme="4" tint="-0.249977111117893"/>
      <name val="宋体"/>
      <charset val="134"/>
      <scheme val="major"/>
    </font>
    <font>
      <sz val="11"/>
      <color rgb="FF1D2129"/>
      <name val="宋体"/>
      <charset val="134"/>
      <scheme val="minor"/>
    </font>
    <font>
      <u/>
      <sz val="11"/>
      <color indexed="12"/>
      <name val="Arial"/>
      <charset val="134"/>
    </font>
    <font>
      <sz val="11"/>
      <color theme="0"/>
      <name val="宋体"/>
      <charset val="134"/>
      <scheme val="minor"/>
    </font>
    <font>
      <b/>
      <sz val="22"/>
      <color theme="1" tint="0.349986266670736"/>
      <name val="宋体"/>
      <charset val="134"/>
      <scheme val="major"/>
    </font>
    <font>
      <b/>
      <sz val="11"/>
      <name val="宋体"/>
      <charset val="134"/>
      <scheme val="minor"/>
    </font>
    <font>
      <sz val="14"/>
      <color theme="1"/>
      <name val="宋体"/>
      <charset val="134"/>
      <scheme val="minor"/>
    </font>
    <font>
      <sz val="10"/>
      <name val="Arial"/>
      <charset val="134"/>
    </font>
    <font>
      <sz val="9"/>
      <name val="宋体"/>
      <charset val="134"/>
      <scheme val="minor"/>
    </font>
    <font>
      <b/>
      <sz val="9"/>
      <color theme="0"/>
      <name val="宋体"/>
      <charset val="134"/>
      <scheme val="minor"/>
    </font>
    <font>
      <sz val="8"/>
      <color theme="0"/>
      <name val="宋体"/>
      <charset val="134"/>
      <scheme val="minor"/>
    </font>
    <font>
      <b/>
      <sz val="11"/>
      <color theme="1"/>
      <name val="宋体"/>
      <charset val="134"/>
      <scheme val="minor"/>
    </font>
    <font>
      <i/>
      <sz val="9"/>
      <color theme="1"/>
      <name val="宋体"/>
      <charset val="134"/>
      <scheme val="minor"/>
    </font>
    <font>
      <sz val="10"/>
      <color theme="1" tint="0.499984740745262"/>
      <name val="宋体"/>
      <charset val="134"/>
      <scheme val="minor"/>
    </font>
    <font>
      <u/>
      <sz val="11"/>
      <color theme="11"/>
      <name val="宋体"/>
      <charset val="134"/>
      <scheme val="minor"/>
    </font>
    <font>
      <sz val="11"/>
      <color rgb="FFFF0000"/>
      <name val="宋体"/>
      <charset val="134"/>
      <scheme val="minor"/>
    </font>
    <font>
      <i/>
      <sz val="11"/>
      <color rgb="FF7F7F7F"/>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s>
  <fills count="38">
    <fill>
      <patternFill patternType="none"/>
    </fill>
    <fill>
      <patternFill patternType="gray125"/>
    </fill>
    <fill>
      <patternFill patternType="solid">
        <fgColor theme="0" tint="-0.149998474074526"/>
        <bgColor indexed="64"/>
      </patternFill>
    </fill>
    <fill>
      <patternFill patternType="solid">
        <fgColor rgb="FFFF0000"/>
        <bgColor indexed="64"/>
      </patternFill>
    </fill>
    <fill>
      <patternFill patternType="solid">
        <fgColor theme="1" tint="0.349986266670736"/>
        <bgColor theme="4"/>
      </patternFill>
    </fill>
    <fill>
      <patternFill patternType="solid">
        <fgColor theme="1" tint="0.349986266670736"/>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theme="0" tint="-0.349986266670736"/>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top style="thin">
        <color theme="0" tint="-0.349986266670736"/>
      </top>
      <bottom/>
      <diagonal/>
    </border>
    <border>
      <left/>
      <right/>
      <top style="thin">
        <color theme="0" tint="-0.349986266670736"/>
      </top>
      <bottom/>
      <diagonal/>
    </border>
    <border>
      <left/>
      <right style="thin">
        <color theme="0" tint="-0.349986266670736"/>
      </right>
      <top style="thin">
        <color theme="0" tint="-0.349986266670736"/>
      </top>
      <bottom/>
      <diagonal/>
    </border>
    <border>
      <left/>
      <right/>
      <top/>
      <bottom style="thin">
        <color theme="0" tint="-0.349986266670736"/>
      </bottom>
      <diagonal/>
    </border>
    <border>
      <left style="thin">
        <color theme="0" tint="-0.349986266670736"/>
      </left>
      <right/>
      <top/>
      <bottom/>
      <diagonal/>
    </border>
    <border>
      <left style="thin">
        <color theme="0" tint="-0.349986266670736"/>
      </left>
      <right style="thin">
        <color theme="0" tint="-0.349986266670736"/>
      </right>
      <top/>
      <bottom style="medium">
        <color theme="0" tint="-0.14996795556505"/>
      </bottom>
      <diagonal/>
    </border>
    <border>
      <left style="thin">
        <color theme="0" tint="-0.149937437055574"/>
      </left>
      <right style="thin">
        <color theme="0" tint="-0.149937437055574"/>
      </right>
      <top style="medium">
        <color theme="0" tint="-0.14996795556505"/>
      </top>
      <bottom style="medium">
        <color theme="0" tint="-0.14996795556505"/>
      </bottom>
      <diagonal/>
    </border>
    <border>
      <left/>
      <right/>
      <top style="medium">
        <color theme="0" tint="-0.14996795556505"/>
      </top>
      <bottom style="medium">
        <color theme="0" tint="-0.14996795556505"/>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2" applyFont="0" applyFill="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9" fillId="0" borderId="0" applyNumberFormat="0" applyFill="0" applyBorder="0" applyAlignment="0" applyProtection="0">
      <alignment vertical="top"/>
      <protection locked="0"/>
    </xf>
    <xf numFmtId="0" fontId="21" fillId="0" borderId="0" applyNumberFormat="0" applyFill="0" applyBorder="0" applyAlignment="0" applyProtection="0"/>
    <xf numFmtId="0" fontId="0" fillId="14" borderId="11" applyNumberFormat="0" applyFont="0" applyAlignment="0" applyProtection="0"/>
    <xf numFmtId="0" fontId="22" fillId="0" borderId="0" applyNumberFormat="0" applyFill="0" applyBorder="0" applyAlignment="0" applyProtection="0"/>
    <xf numFmtId="0" fontId="11" fillId="0" borderId="0" applyNumberFormat="0" applyFill="0" applyBorder="0" applyAlignment="0" applyProtection="0"/>
    <xf numFmtId="0" fontId="23" fillId="0" borderId="0" applyNumberFormat="0" applyFill="0" applyBorder="0" applyAlignment="0" applyProtection="0"/>
    <xf numFmtId="0" fontId="13" fillId="0" borderId="0" applyNumberFormat="0" applyFill="0" applyAlignment="0" applyProtection="0"/>
    <xf numFmtId="0" fontId="13" fillId="0" borderId="0" applyNumberFormat="0" applyFill="0" applyProtection="0">
      <alignment vertical="top"/>
    </xf>
    <xf numFmtId="0" fontId="0" fillId="0" borderId="0" applyNumberFormat="0" applyFill="0" applyProtection="0">
      <alignment horizontal="right" indent="1"/>
    </xf>
    <xf numFmtId="0" fontId="24" fillId="0" borderId="0" applyNumberFormat="0" applyFill="0" applyBorder="0" applyAlignment="0" applyProtection="0"/>
    <xf numFmtId="0" fontId="25" fillId="15" borderId="12" applyNumberFormat="0" applyAlignment="0" applyProtection="0"/>
    <xf numFmtId="0" fontId="26" fillId="16" borderId="13" applyNumberFormat="0" applyAlignment="0" applyProtection="0"/>
    <xf numFmtId="0" fontId="27" fillId="16" borderId="12" applyNumberFormat="0" applyAlignment="0" applyProtection="0"/>
    <xf numFmtId="0" fontId="28" fillId="17" borderId="14" applyNumberFormat="0" applyAlignment="0" applyProtection="0"/>
    <xf numFmtId="0" fontId="29" fillId="0" borderId="15" applyNumberFormat="0" applyFill="0" applyAlignment="0" applyProtection="0"/>
    <xf numFmtId="0" fontId="18" fillId="0" borderId="16" applyNumberFormat="0" applyFill="0" applyAlignment="0" applyProtection="0"/>
    <xf numFmtId="0" fontId="30" fillId="18" borderId="0" applyNumberFormat="0" applyBorder="0" applyAlignment="0" applyProtection="0"/>
    <xf numFmtId="0" fontId="31" fillId="19" borderId="0" applyNumberFormat="0" applyBorder="0" applyAlignment="0" applyProtection="0"/>
    <xf numFmtId="0" fontId="32" fillId="20" borderId="0" applyNumberFormat="0" applyBorder="0" applyAlignment="0" applyProtection="0"/>
    <xf numFmtId="0" fontId="10" fillId="21" borderId="0" applyNumberFormat="0" applyBorder="0" applyAlignment="0" applyProtection="0"/>
    <xf numFmtId="0" fontId="0" fillId="7" borderId="0" applyNumberFormat="0" applyBorder="0" applyAlignment="0" applyProtection="0"/>
    <xf numFmtId="0" fontId="0" fillId="6" borderId="0" applyNumberFormat="0" applyBorder="0" applyAlignment="0" applyProtection="0"/>
    <xf numFmtId="0" fontId="0" fillId="22" borderId="0" applyNumberFormat="0" applyBorder="0" applyAlignment="0" applyProtection="0"/>
    <xf numFmtId="0" fontId="10" fillId="23" borderId="0" applyNumberFormat="0" applyBorder="0" applyAlignment="0" applyProtection="0"/>
    <xf numFmtId="0" fontId="0" fillId="8"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10" fillId="26" borderId="0" applyNumberFormat="0" applyBorder="0" applyAlignment="0" applyProtection="0"/>
    <xf numFmtId="0" fontId="0" fillId="10" borderId="0" applyNumberFormat="0" applyBorder="0" applyAlignment="0" applyProtection="0"/>
    <xf numFmtId="0" fontId="0" fillId="9" borderId="0" applyNumberFormat="0" applyBorder="0" applyAlignment="0" applyProtection="0"/>
    <xf numFmtId="0" fontId="0" fillId="27" borderId="0" applyNumberFormat="0" applyBorder="0" applyAlignment="0" applyProtection="0"/>
    <xf numFmtId="0" fontId="10" fillId="28" borderId="0" applyNumberFormat="0" applyBorder="0" applyAlignment="0" applyProtection="0"/>
    <xf numFmtId="0" fontId="0" fillId="12" borderId="0" applyNumberFormat="0" applyBorder="0" applyAlignment="0" applyProtection="0"/>
    <xf numFmtId="0" fontId="0" fillId="11" borderId="0" applyNumberFormat="0" applyBorder="0" applyAlignment="0" applyProtection="0"/>
    <xf numFmtId="0" fontId="0" fillId="29" borderId="0" applyNumberFormat="0" applyBorder="0" applyAlignment="0" applyProtection="0"/>
    <xf numFmtId="0" fontId="1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xf numFmtId="0" fontId="10" fillId="34" borderId="0" applyNumberFormat="0" applyBorder="0" applyAlignment="0" applyProtection="0"/>
    <xf numFmtId="0" fontId="0" fillId="35" borderId="0" applyNumberFormat="0" applyBorder="0" applyAlignment="0" applyProtection="0"/>
    <xf numFmtId="0" fontId="0" fillId="36" borderId="0" applyNumberFormat="0" applyBorder="0" applyAlignment="0" applyProtection="0"/>
    <xf numFmtId="0" fontId="0" fillId="37" borderId="0" applyNumberFormat="0" applyBorder="0" applyAlignment="0" applyProtection="0"/>
    <xf numFmtId="180" fontId="0" fillId="0" borderId="10" applyFill="0">
      <alignment horizontal="center" vertical="center"/>
    </xf>
    <xf numFmtId="0" fontId="0" fillId="0" borderId="10" applyFill="0">
      <alignment horizontal="center" vertical="center"/>
    </xf>
    <xf numFmtId="181" fontId="0" fillId="0" borderId="2">
      <alignment horizontal="center" vertical="center"/>
    </xf>
    <xf numFmtId="0" fontId="0" fillId="0" borderId="10" applyFill="0">
      <alignment horizontal="left" vertical="center" indent="2"/>
    </xf>
    <xf numFmtId="0" fontId="10" fillId="0" borderId="0"/>
  </cellStyleXfs>
  <cellXfs count="81">
    <xf numFmtId="0" fontId="0" fillId="0" borderId="0" xfId="0"/>
    <xf numFmtId="0" fontId="1" fillId="0" borderId="0" xfId="0" applyFont="1" applyAlignment="1">
      <alignment horizontal="left" vertical="center"/>
    </xf>
    <xf numFmtId="0" fontId="2" fillId="0" borderId="0" xfId="0" applyFont="1" applyAlignment="1">
      <alignment horizontal="left" vertical="top"/>
    </xf>
    <xf numFmtId="0" fontId="3"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left" vertical="center"/>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horizontal="left" vertical="top" wrapText="1" indent="1"/>
    </xf>
    <xf numFmtId="0" fontId="0" fillId="0" borderId="0" xfId="0" applyAlignment="1">
      <alignment vertical="top" wrapText="1"/>
    </xf>
    <xf numFmtId="0" fontId="9" fillId="0" borderId="0" xfId="6" applyAlignment="1" applyProtection="1">
      <alignment horizontal="left" vertical="top"/>
    </xf>
    <xf numFmtId="0" fontId="0" fillId="0" borderId="0" xfId="0" applyAlignment="1">
      <alignment vertical="center"/>
    </xf>
    <xf numFmtId="0" fontId="10" fillId="0" borderId="0" xfId="53"/>
    <xf numFmtId="0" fontId="0" fillId="0" borderId="0" xfId="0" applyAlignment="1">
      <alignment horizontal="center"/>
    </xf>
    <xf numFmtId="0" fontId="10" fillId="0" borderId="0" xfId="53" applyAlignment="1">
      <alignment wrapText="1"/>
    </xf>
    <xf numFmtId="0" fontId="11" fillId="0" borderId="0" xfId="10"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12" fillId="0" borderId="0" xfId="0" applyFont="1"/>
    <xf numFmtId="0" fontId="13" fillId="0" borderId="0" xfId="12"/>
    <xf numFmtId="0" fontId="13" fillId="0" borderId="0" xfId="0" applyFont="1"/>
    <xf numFmtId="0" fontId="14" fillId="0" borderId="0" xfId="6" applyFont="1" applyProtection="1">
      <alignment vertical="top"/>
    </xf>
    <xf numFmtId="0" fontId="13" fillId="0" borderId="0" xfId="13">
      <alignment vertical="top"/>
    </xf>
    <xf numFmtId="0" fontId="0" fillId="0" borderId="1" xfId="14" applyBorder="1">
      <alignment horizontal="right" indent="1"/>
    </xf>
    <xf numFmtId="181" fontId="0" fillId="0" borderId="2" xfId="51" applyAlignment="1">
      <alignment horizontal="center" vertical="center"/>
    </xf>
    <xf numFmtId="182" fontId="0" fillId="2" borderId="3" xfId="0" applyNumberFormat="1" applyFill="1" applyBorder="1" applyAlignment="1">
      <alignment horizontal="left" vertical="center" wrapText="1" indent="1"/>
    </xf>
    <xf numFmtId="182" fontId="0" fillId="2" borderId="4" xfId="0" applyNumberFormat="1" applyFill="1" applyBorder="1" applyAlignment="1">
      <alignment horizontal="left" vertical="center" wrapText="1" indent="1"/>
    </xf>
    <xf numFmtId="182" fontId="0" fillId="2" borderId="5" xfId="0" applyNumberFormat="1" applyFill="1" applyBorder="1" applyAlignment="1">
      <alignment horizontal="left" vertical="center" wrapText="1" indent="1"/>
    </xf>
    <xf numFmtId="0" fontId="0" fillId="0" borderId="2" xfId="0" applyBorder="1" applyAlignment="1">
      <alignment horizontal="center" vertical="center"/>
    </xf>
    <xf numFmtId="0" fontId="0" fillId="0" borderId="6" xfId="0" applyBorder="1"/>
    <xf numFmtId="183" fontId="15" fillId="2" borderId="7" xfId="0" applyNumberFormat="1" applyFont="1" applyFill="1" applyBorder="1" applyAlignment="1">
      <alignment horizontal="center" vertical="center"/>
    </xf>
    <xf numFmtId="183" fontId="15" fillId="2" borderId="0" xfId="0" applyNumberFormat="1" applyFont="1" applyFill="1" applyAlignment="1">
      <alignment horizontal="center" vertical="center"/>
    </xf>
    <xf numFmtId="183" fontId="15" fillId="3" borderId="0" xfId="0" applyNumberFormat="1" applyFont="1" applyFill="1" applyAlignment="1">
      <alignment horizontal="center" vertical="center"/>
    </xf>
    <xf numFmtId="183" fontId="15" fillId="2" borderId="1" xfId="0" applyNumberFormat="1" applyFont="1" applyFill="1" applyBorder="1" applyAlignment="1">
      <alignment horizontal="center" vertical="center"/>
    </xf>
    <xf numFmtId="0" fontId="16" fillId="4" borderId="4" xfId="0" applyFont="1" applyFill="1" applyBorder="1" applyAlignment="1">
      <alignment horizontal="left" vertical="center" indent="1"/>
    </xf>
    <xf numFmtId="0" fontId="16" fillId="4" borderId="4" xfId="0" applyFont="1" applyFill="1" applyBorder="1" applyAlignment="1">
      <alignment horizontal="center" vertical="center" wrapText="1"/>
    </xf>
    <xf numFmtId="0" fontId="17" fillId="5" borderId="8" xfId="0" applyFont="1" applyFill="1" applyBorder="1" applyAlignment="1">
      <alignment horizontal="center" vertical="center" shrinkToFit="1"/>
    </xf>
    <xf numFmtId="0" fontId="17" fillId="3" borderId="8" xfId="0" applyFont="1" applyFill="1" applyBorder="1" applyAlignment="1">
      <alignment horizontal="center" vertical="center" shrinkToFit="1"/>
    </xf>
    <xf numFmtId="0" fontId="0" fillId="0" borderId="9" xfId="0" applyBorder="1" applyAlignment="1">
      <alignment vertical="center"/>
    </xf>
    <xf numFmtId="0" fontId="0" fillId="3" borderId="9" xfId="0" applyFill="1" applyBorder="1" applyAlignment="1">
      <alignment vertical="center"/>
    </xf>
    <xf numFmtId="0" fontId="18" fillId="6" borderId="10" xfId="0" applyFont="1" applyFill="1" applyBorder="1" applyAlignment="1">
      <alignment horizontal="left" vertical="center" indent="1"/>
    </xf>
    <xf numFmtId="9" fontId="5" fillId="6" borderId="10" xfId="3" applyFont="1" applyFill="1" applyBorder="1" applyAlignment="1">
      <alignment horizontal="center" vertical="center"/>
    </xf>
    <xf numFmtId="180" fontId="0" fillId="6" borderId="10" xfId="0" applyNumberFormat="1" applyFill="1" applyBorder="1" applyAlignment="1">
      <alignment horizontal="center" vertical="center"/>
    </xf>
    <xf numFmtId="180" fontId="5" fillId="6" borderId="10" xfId="0" applyNumberFormat="1" applyFont="1" applyFill="1" applyBorder="1" applyAlignment="1">
      <alignment horizontal="center" vertical="center"/>
    </xf>
    <xf numFmtId="0" fontId="5" fillId="0" borderId="10" xfId="0" applyFont="1" applyBorder="1" applyAlignment="1">
      <alignment horizontal="center" vertical="center"/>
    </xf>
    <xf numFmtId="0" fontId="5" fillId="0" borderId="9" xfId="0" applyFont="1" applyFill="1" applyBorder="1" applyAlignment="1">
      <alignment vertical="center"/>
    </xf>
    <xf numFmtId="0" fontId="0" fillId="0" borderId="9" xfId="0" applyFill="1" applyBorder="1" applyAlignment="1">
      <alignment vertical="center"/>
    </xf>
    <xf numFmtId="0" fontId="0" fillId="7" borderId="10" xfId="52" applyFill="1">
      <alignment horizontal="left" vertical="center" indent="2"/>
    </xf>
    <xf numFmtId="9" fontId="5" fillId="7" borderId="10" xfId="3" applyFont="1" applyFill="1" applyBorder="1" applyAlignment="1">
      <alignment horizontal="center" vertical="center"/>
    </xf>
    <xf numFmtId="180" fontId="0" fillId="7" borderId="10" xfId="49" applyFill="1">
      <alignment horizontal="center" vertical="center"/>
    </xf>
    <xf numFmtId="0" fontId="0" fillId="0" borderId="9" xfId="0" applyBorder="1" applyAlignment="1">
      <alignment horizontal="right" vertical="center"/>
    </xf>
    <xf numFmtId="0" fontId="0" fillId="8" borderId="10" xfId="52" applyFill="1">
      <alignment horizontal="left" vertical="center" indent="2"/>
    </xf>
    <xf numFmtId="9" fontId="5" fillId="8" borderId="10" xfId="3" applyFont="1" applyFill="1" applyBorder="1" applyAlignment="1">
      <alignment horizontal="center" vertical="center"/>
    </xf>
    <xf numFmtId="180" fontId="0" fillId="8" borderId="10" xfId="49" applyFill="1">
      <alignment horizontal="center" vertical="center"/>
    </xf>
    <xf numFmtId="0" fontId="18" fillId="9" borderId="10" xfId="0" applyFont="1" applyFill="1" applyBorder="1" applyAlignment="1">
      <alignment horizontal="left" vertical="center" indent="1"/>
    </xf>
    <xf numFmtId="9" fontId="5" fillId="9" borderId="10" xfId="3" applyFont="1" applyFill="1" applyBorder="1" applyAlignment="1">
      <alignment horizontal="center" vertical="center"/>
    </xf>
    <xf numFmtId="180" fontId="0" fillId="9" borderId="10" xfId="0" applyNumberFormat="1" applyFill="1" applyBorder="1" applyAlignment="1">
      <alignment horizontal="center" vertical="center"/>
    </xf>
    <xf numFmtId="180" fontId="5" fillId="9" borderId="10" xfId="0" applyNumberFormat="1" applyFont="1" applyFill="1" applyBorder="1" applyAlignment="1">
      <alignment horizontal="center" vertical="center"/>
    </xf>
    <xf numFmtId="0" fontId="0" fillId="10" borderId="10" xfId="52" applyFill="1">
      <alignment horizontal="left" vertical="center" indent="2"/>
    </xf>
    <xf numFmtId="9" fontId="5" fillId="10" borderId="10" xfId="3" applyFont="1" applyFill="1" applyBorder="1" applyAlignment="1">
      <alignment horizontal="center" vertical="center"/>
    </xf>
    <xf numFmtId="180" fontId="0" fillId="10" borderId="10" xfId="49" applyFill="1">
      <alignment horizontal="center" vertical="center"/>
    </xf>
    <xf numFmtId="0" fontId="18" fillId="11" borderId="10" xfId="0" applyFont="1" applyFill="1" applyBorder="1" applyAlignment="1">
      <alignment horizontal="left" vertical="center" indent="1"/>
    </xf>
    <xf numFmtId="9" fontId="5" fillId="11" borderId="10" xfId="3" applyFont="1" applyFill="1" applyBorder="1" applyAlignment="1">
      <alignment horizontal="center" vertical="center"/>
    </xf>
    <xf numFmtId="180" fontId="0" fillId="11" borderId="10" xfId="0" applyNumberFormat="1" applyFill="1" applyBorder="1" applyAlignment="1">
      <alignment horizontal="center" vertical="center"/>
    </xf>
    <xf numFmtId="180" fontId="5" fillId="11" borderId="10" xfId="0" applyNumberFormat="1" applyFont="1" applyFill="1" applyBorder="1" applyAlignment="1">
      <alignment horizontal="center" vertical="center"/>
    </xf>
    <xf numFmtId="0" fontId="0" fillId="12" borderId="10" xfId="52" applyFill="1">
      <alignment horizontal="left" vertical="center" indent="2"/>
    </xf>
    <xf numFmtId="9" fontId="5" fillId="12" borderId="10" xfId="3" applyFont="1" applyFill="1" applyBorder="1" applyAlignment="1">
      <alignment horizontal="center" vertical="center"/>
    </xf>
    <xf numFmtId="180" fontId="0" fillId="12" borderId="10" xfId="49" applyFill="1">
      <alignment horizontal="center" vertical="center"/>
    </xf>
    <xf numFmtId="0" fontId="0" fillId="0" borderId="10" xfId="52">
      <alignment horizontal="left" vertical="center" indent="2"/>
    </xf>
    <xf numFmtId="9" fontId="5" fillId="0" borderId="10" xfId="3" applyFont="1" applyBorder="1" applyAlignment="1">
      <alignment horizontal="center" vertical="center"/>
    </xf>
    <xf numFmtId="180" fontId="0" fillId="0" borderId="10" xfId="49">
      <alignment horizontal="center" vertical="center"/>
    </xf>
    <xf numFmtId="0" fontId="19" fillId="13" borderId="10" xfId="0" applyFont="1" applyFill="1" applyBorder="1" applyAlignment="1">
      <alignment horizontal="left" vertical="center" indent="1"/>
    </xf>
    <xf numFmtId="9" fontId="5" fillId="13" borderId="10" xfId="3" applyFont="1" applyFill="1" applyBorder="1" applyAlignment="1">
      <alignment horizontal="center" vertical="center"/>
    </xf>
    <xf numFmtId="180" fontId="20" fillId="13" borderId="10" xfId="0" applyNumberFormat="1" applyFont="1" applyFill="1" applyBorder="1" applyAlignment="1">
      <alignment horizontal="left" vertical="center"/>
    </xf>
    <xf numFmtId="180" fontId="5" fillId="13" borderId="10" xfId="0" applyNumberFormat="1" applyFont="1" applyFill="1" applyBorder="1" applyAlignment="1">
      <alignment horizontal="center" vertical="center"/>
    </xf>
    <xf numFmtId="0" fontId="5" fillId="13" borderId="10" xfId="0" applyFont="1" applyFill="1" applyBorder="1" applyAlignment="1">
      <alignment horizontal="center" vertical="center"/>
    </xf>
    <xf numFmtId="0" fontId="0" fillId="13" borderId="9" xfId="0" applyFill="1" applyBorder="1" applyAlignment="1">
      <alignment vertical="center"/>
    </xf>
    <xf numFmtId="0" fontId="0" fillId="0" borderId="0" xfId="0" applyAlignment="1">
      <alignment horizontal="right" vertical="center"/>
    </xf>
    <xf numFmtId="0" fontId="10" fillId="0" borderId="0" xfId="0" applyFont="1" applyAlignment="1">
      <alignment horizont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Date" xfId="49"/>
    <cellStyle name="Name" xfId="50"/>
    <cellStyle name="Project Start" xfId="51"/>
    <cellStyle name="Task" xfId="52"/>
    <cellStyle name="zHiddenText" xfId="53"/>
  </cellStyles>
  <dxfs count="12">
    <dxf>
      <border>
        <left style="thin">
          <color rgb="FFC00000"/>
        </left>
        <right style="thin">
          <color rgb="FFC00000"/>
        </right>
      </border>
    </dxf>
    <dxf>
      <fill>
        <patternFill patternType="solid">
          <bgColor theme="0" tint="-0.349986266670736"/>
        </patternFill>
      </fill>
    </dxf>
    <dxf>
      <fill>
        <patternFill patternType="solid">
          <bgColor theme="7"/>
        </patternFill>
      </fill>
      <border>
        <left/>
        <right/>
      </border>
    </dxf>
    <dxf>
      <border>
        <left style="thin">
          <color theme="0" tint="-0.249946592608417"/>
        </left>
      </border>
    </dxf>
    <dxf>
      <border>
        <left style="thin">
          <color theme="0" tint="-0.249946592608417"/>
        </left>
      </border>
    </dxf>
    <dxf>
      <border>
        <top style="thin">
          <color theme="4" tint="0.399945066682943"/>
        </top>
      </border>
    </dxf>
    <dxf>
      <fill>
        <patternFill patternType="solid">
          <bgColor theme="0" tint="-0.0499893185216834"/>
        </patternFill>
      </fill>
      <border>
        <top style="thin">
          <color theme="4" tint="0.399945066682943"/>
        </top>
      </border>
    </dxf>
    <dxf>
      <font>
        <b val="1"/>
        <color theme="1"/>
      </font>
    </dxf>
    <dxf>
      <font>
        <b val="0"/>
        <i val="0"/>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4B85055C-9433-4EF9-8F30-882C9A6DC8D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215881"/>
      <color rgb="0042648A"/>
      <color rgb="00969696"/>
      <color rgb="00C0C0C0"/>
      <color rgb="00427FC2"/>
      <color rgb="0044678E"/>
      <color rgb="004A6F9C"/>
      <color rgb="003969AD"/>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xdr:cNvPr>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5" Type="http://schemas.openxmlformats.org/officeDocument/2006/relationships/hyperlink" Target="https://www.vertex42.com/ExcelTemplates/simple-gantt-chart.html?utm_source=ms&amp;utm_medium=file&amp;utm_campaign=office&amp;utm_content=text" TargetMode="External"/><Relationship Id="rId4"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2" Type="http://schemas.openxmlformats.org/officeDocument/2006/relationships/hyperlink" Target="https://www.vertex42.com/ExcelTemplates/excel-project-management.html?utm_source=ms&amp;utm_medium=file&amp;utm_campaign=office&amp;utm_content=text"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K36"/>
  <sheetViews>
    <sheetView showGridLines="0" tabSelected="1" zoomScale="130" zoomScaleNormal="130" zoomScalePageLayoutView="70" showRuler="0" workbookViewId="0">
      <pane ySplit="6" topLeftCell="A7" activePane="bottomLeft" state="frozen"/>
      <selection/>
      <selection pane="bottomLeft" activeCell="AD11" sqref="AD11"/>
    </sheetView>
  </sheetViews>
  <sheetFormatPr defaultColWidth="9" defaultRowHeight="30" customHeight="1"/>
  <cols>
    <col min="1" max="1" width="2.71666666666667" style="14" customWidth="1"/>
    <col min="2" max="2" width="19.8583333333333" customWidth="1"/>
    <col min="3" max="3" width="10.7166666666667" customWidth="1"/>
    <col min="4" max="4" width="10.425" style="15" customWidth="1"/>
    <col min="5" max="5" width="10.425" customWidth="1"/>
    <col min="6" max="6" width="2.71666666666667" customWidth="1"/>
    <col min="7" max="7" width="6.14166666666667" hidden="1" customWidth="1"/>
    <col min="8" max="63" width="2.575" customWidth="1"/>
    <col min="68" max="69" width="10.2833333333333"/>
  </cols>
  <sheetData>
    <row r="1" customHeight="1" spans="1:63">
      <c r="A1" s="16" t="s">
        <v>0</v>
      </c>
      <c r="B1" s="17" t="s">
        <v>1</v>
      </c>
      <c r="C1" s="5"/>
      <c r="D1" s="18"/>
      <c r="E1" s="19"/>
      <c r="G1" s="5"/>
      <c r="H1" s="20"/>
    </row>
    <row r="2" customHeight="1" spans="1:63">
      <c r="A2" s="14" t="s">
        <v>2</v>
      </c>
      <c r="B2" s="21"/>
      <c r="C2" s="22"/>
      <c r="H2" s="23"/>
    </row>
    <row r="3" customHeight="1" spans="1:63">
      <c r="A3" s="14" t="s">
        <v>3</v>
      </c>
      <c r="B3" s="24"/>
      <c r="C3" s="25"/>
      <c r="D3" s="26">
        <f ca="1">TODAY()</f>
        <v>45968</v>
      </c>
      <c r="E3" s="26"/>
      <c r="H3" s="27" t="s">
        <v>4</v>
      </c>
      <c r="I3" s="28"/>
      <c r="J3" s="28"/>
      <c r="K3" s="28"/>
      <c r="L3" s="28"/>
      <c r="M3" s="28"/>
      <c r="N3" s="29"/>
      <c r="O3" s="27" t="s">
        <v>5</v>
      </c>
      <c r="P3" s="28"/>
      <c r="Q3" s="28"/>
      <c r="R3" s="28"/>
      <c r="S3" s="28"/>
      <c r="T3" s="28"/>
      <c r="U3" s="29"/>
      <c r="V3" s="27" t="s">
        <v>6</v>
      </c>
      <c r="W3" s="28"/>
      <c r="X3" s="28"/>
      <c r="Y3" s="28"/>
      <c r="Z3" s="28"/>
      <c r="AA3" s="28"/>
      <c r="AB3" s="29"/>
      <c r="AC3" s="27" t="s">
        <v>7</v>
      </c>
      <c r="AD3" s="28"/>
      <c r="AE3" s="28"/>
      <c r="AF3" s="28"/>
      <c r="AG3" s="28"/>
      <c r="AH3" s="28"/>
      <c r="AI3" s="29"/>
      <c r="AJ3" s="27" t="s">
        <v>8</v>
      </c>
      <c r="AK3" s="28"/>
      <c r="AL3" s="28"/>
      <c r="AM3" s="28"/>
      <c r="AN3" s="28"/>
      <c r="AO3" s="28"/>
      <c r="AP3" s="29"/>
      <c r="AQ3" s="27" t="s">
        <v>9</v>
      </c>
      <c r="AR3" s="28"/>
      <c r="AS3" s="28"/>
      <c r="AT3" s="28"/>
      <c r="AU3" s="28"/>
      <c r="AV3" s="28"/>
      <c r="AW3" s="29"/>
      <c r="AX3" s="27" t="s">
        <v>10</v>
      </c>
      <c r="AY3" s="28"/>
      <c r="AZ3" s="28"/>
      <c r="BA3" s="28"/>
      <c r="BB3" s="28"/>
      <c r="BC3" s="28"/>
      <c r="BD3" s="29"/>
      <c r="BE3" s="27" t="s">
        <v>11</v>
      </c>
      <c r="BF3" s="28"/>
      <c r="BG3" s="28"/>
      <c r="BH3" s="28"/>
      <c r="BI3" s="28"/>
      <c r="BJ3" s="28"/>
      <c r="BK3" s="29"/>
    </row>
    <row r="4" customHeight="1" spans="1:63">
      <c r="A4" s="16" t="s">
        <v>12</v>
      </c>
      <c r="C4" s="25"/>
      <c r="D4" s="30">
        <v>1</v>
      </c>
      <c r="H4" s="27">
        <f ca="1">H5</f>
        <v>45964</v>
      </c>
      <c r="I4" s="28"/>
      <c r="J4" s="28"/>
      <c r="K4" s="28"/>
      <c r="L4" s="28"/>
      <c r="M4" s="28"/>
      <c r="N4" s="29"/>
      <c r="O4" s="27">
        <f ca="1">O5</f>
        <v>45971</v>
      </c>
      <c r="P4" s="28"/>
      <c r="Q4" s="28"/>
      <c r="R4" s="28"/>
      <c r="S4" s="28"/>
      <c r="T4" s="28"/>
      <c r="U4" s="29"/>
      <c r="V4" s="27">
        <f ca="1">V5</f>
        <v>45978</v>
      </c>
      <c r="W4" s="28"/>
      <c r="X4" s="28"/>
      <c r="Y4" s="28"/>
      <c r="Z4" s="28"/>
      <c r="AA4" s="28"/>
      <c r="AB4" s="29"/>
      <c r="AC4" s="27">
        <f ca="1">AC5</f>
        <v>45985</v>
      </c>
      <c r="AD4" s="28"/>
      <c r="AE4" s="28"/>
      <c r="AF4" s="28"/>
      <c r="AG4" s="28"/>
      <c r="AH4" s="28"/>
      <c r="AI4" s="29"/>
      <c r="AJ4" s="27">
        <f ca="1">AJ5</f>
        <v>45992</v>
      </c>
      <c r="AK4" s="28"/>
      <c r="AL4" s="28"/>
      <c r="AM4" s="28"/>
      <c r="AN4" s="28"/>
      <c r="AO4" s="28"/>
      <c r="AP4" s="29"/>
      <c r="AQ4" s="27">
        <f ca="1">AQ5</f>
        <v>45999</v>
      </c>
      <c r="AR4" s="28"/>
      <c r="AS4" s="28"/>
      <c r="AT4" s="28"/>
      <c r="AU4" s="28"/>
      <c r="AV4" s="28"/>
      <c r="AW4" s="29"/>
      <c r="AX4" s="27">
        <f ca="1">AX5</f>
        <v>46006</v>
      </c>
      <c r="AY4" s="28"/>
      <c r="AZ4" s="28"/>
      <c r="BA4" s="28"/>
      <c r="BB4" s="28"/>
      <c r="BC4" s="28"/>
      <c r="BD4" s="29"/>
      <c r="BE4" s="27">
        <f ca="1">BE5</f>
        <v>46013</v>
      </c>
      <c r="BF4" s="28"/>
      <c r="BG4" s="28"/>
      <c r="BH4" s="28"/>
      <c r="BI4" s="28"/>
      <c r="BJ4" s="28"/>
      <c r="BK4" s="29"/>
    </row>
    <row r="5" ht="15" customHeight="1" spans="1:63">
      <c r="A5" s="16" t="s">
        <v>13</v>
      </c>
      <c r="B5" s="31"/>
      <c r="C5" s="31"/>
      <c r="D5" s="31"/>
      <c r="E5" s="31"/>
      <c r="F5" s="31"/>
      <c r="H5" s="32">
        <f ca="1">Project_Start-WEEKDAY(Project_Start,1)+2+7*(Display_Week-1)</f>
        <v>45964</v>
      </c>
      <c r="I5" s="33">
        <f ca="1">H5+1</f>
        <v>45965</v>
      </c>
      <c r="J5" s="33">
        <f ca="1" t="shared" ref="J5:AY5" si="0">I5+1</f>
        <v>45966</v>
      </c>
      <c r="K5" s="33">
        <f ca="1" t="shared" si="0"/>
        <v>45967</v>
      </c>
      <c r="L5" s="34">
        <f ca="1" t="shared" si="0"/>
        <v>45968</v>
      </c>
      <c r="M5" s="33">
        <f ca="1" t="shared" si="0"/>
        <v>45969</v>
      </c>
      <c r="N5" s="35">
        <f ca="1" t="shared" si="0"/>
        <v>45970</v>
      </c>
      <c r="O5" s="32">
        <f ca="1" t="shared" si="0"/>
        <v>45971</v>
      </c>
      <c r="P5" s="33">
        <f ca="1" t="shared" si="0"/>
        <v>45972</v>
      </c>
      <c r="Q5" s="33">
        <f ca="1" t="shared" si="0"/>
        <v>45973</v>
      </c>
      <c r="R5" s="33">
        <f ca="1" t="shared" si="0"/>
        <v>45974</v>
      </c>
      <c r="S5" s="33">
        <f ca="1" t="shared" si="0"/>
        <v>45975</v>
      </c>
      <c r="T5" s="33">
        <f ca="1" t="shared" si="0"/>
        <v>45976</v>
      </c>
      <c r="U5" s="35">
        <f ca="1" t="shared" si="0"/>
        <v>45977</v>
      </c>
      <c r="V5" s="32">
        <f ca="1" t="shared" si="0"/>
        <v>45978</v>
      </c>
      <c r="W5" s="33">
        <f ca="1" t="shared" si="0"/>
        <v>45979</v>
      </c>
      <c r="X5" s="33">
        <f ca="1" t="shared" si="0"/>
        <v>45980</v>
      </c>
      <c r="Y5" s="33">
        <f ca="1" t="shared" si="0"/>
        <v>45981</v>
      </c>
      <c r="Z5" s="33">
        <f ca="1" t="shared" si="0"/>
        <v>45982</v>
      </c>
      <c r="AA5" s="33">
        <f ca="1" t="shared" si="0"/>
        <v>45983</v>
      </c>
      <c r="AB5" s="35">
        <f ca="1" t="shared" si="0"/>
        <v>45984</v>
      </c>
      <c r="AC5" s="32">
        <f ca="1" t="shared" si="0"/>
        <v>45985</v>
      </c>
      <c r="AD5" s="33">
        <f ca="1" t="shared" si="0"/>
        <v>45986</v>
      </c>
      <c r="AE5" s="33">
        <f ca="1" t="shared" si="0"/>
        <v>45987</v>
      </c>
      <c r="AF5" s="33">
        <f ca="1" t="shared" si="0"/>
        <v>45988</v>
      </c>
      <c r="AG5" s="34">
        <f ca="1" t="shared" si="0"/>
        <v>45989</v>
      </c>
      <c r="AH5" s="33">
        <f ca="1" t="shared" si="0"/>
        <v>45990</v>
      </c>
      <c r="AI5" s="35">
        <f ca="1" t="shared" si="0"/>
        <v>45991</v>
      </c>
      <c r="AJ5" s="32">
        <f ca="1" t="shared" si="0"/>
        <v>45992</v>
      </c>
      <c r="AK5" s="33">
        <f ca="1" t="shared" si="0"/>
        <v>45993</v>
      </c>
      <c r="AL5" s="33">
        <f ca="1" t="shared" si="0"/>
        <v>45994</v>
      </c>
      <c r="AM5" s="33">
        <f ca="1" t="shared" si="0"/>
        <v>45995</v>
      </c>
      <c r="AN5" s="33">
        <f ca="1" t="shared" si="0"/>
        <v>45996</v>
      </c>
      <c r="AO5" s="33">
        <f ca="1" t="shared" si="0"/>
        <v>45997</v>
      </c>
      <c r="AP5" s="35">
        <f ca="1" t="shared" si="0"/>
        <v>45998</v>
      </c>
      <c r="AQ5" s="32">
        <f ca="1" t="shared" si="0"/>
        <v>45999</v>
      </c>
      <c r="AR5" s="34">
        <f ca="1" t="shared" si="0"/>
        <v>46000</v>
      </c>
      <c r="AS5" s="33">
        <f ca="1" t="shared" si="0"/>
        <v>46001</v>
      </c>
      <c r="AT5" s="33">
        <f ca="1" t="shared" si="0"/>
        <v>46002</v>
      </c>
      <c r="AU5" s="34">
        <f ca="1" t="shared" si="0"/>
        <v>46003</v>
      </c>
      <c r="AV5" s="33">
        <f ca="1" t="shared" si="0"/>
        <v>46004</v>
      </c>
      <c r="AW5" s="35">
        <f ca="1" t="shared" si="0"/>
        <v>46005</v>
      </c>
      <c r="AX5" s="32">
        <f ca="1" t="shared" si="0"/>
        <v>46006</v>
      </c>
      <c r="AY5" s="33">
        <f ca="1" t="shared" si="0"/>
        <v>46007</v>
      </c>
      <c r="AZ5" s="33">
        <f ca="1" t="shared" ref="AZ5:BF5" si="1">AY5+1</f>
        <v>46008</v>
      </c>
      <c r="BA5" s="33">
        <f ca="1" t="shared" si="1"/>
        <v>46009</v>
      </c>
      <c r="BB5" s="33">
        <f ca="1" t="shared" si="1"/>
        <v>46010</v>
      </c>
      <c r="BC5" s="33">
        <f ca="1" t="shared" si="1"/>
        <v>46011</v>
      </c>
      <c r="BD5" s="35">
        <f ca="1" t="shared" si="1"/>
        <v>46012</v>
      </c>
      <c r="BE5" s="32">
        <f ca="1" t="shared" si="1"/>
        <v>46013</v>
      </c>
      <c r="BF5" s="32">
        <f ca="1" t="shared" si="1"/>
        <v>46014</v>
      </c>
      <c r="BG5" s="33">
        <f ca="1" t="shared" ref="BG5:BK5" si="2">BF5+1</f>
        <v>46015</v>
      </c>
      <c r="BH5" s="33">
        <f ca="1" t="shared" si="2"/>
        <v>46016</v>
      </c>
      <c r="BI5" s="33">
        <f ca="1" t="shared" si="2"/>
        <v>46017</v>
      </c>
      <c r="BJ5" s="33">
        <f ca="1" t="shared" si="2"/>
        <v>46018</v>
      </c>
      <c r="BK5" s="35">
        <f ca="1" t="shared" si="2"/>
        <v>46019</v>
      </c>
    </row>
    <row r="6" customHeight="1" spans="1:63">
      <c r="A6" s="16" t="s">
        <v>14</v>
      </c>
      <c r="B6" s="36" t="s">
        <v>15</v>
      </c>
      <c r="C6" s="37" t="s">
        <v>16</v>
      </c>
      <c r="D6" s="37" t="s">
        <v>17</v>
      </c>
      <c r="E6" s="37" t="s">
        <v>18</v>
      </c>
      <c r="F6" s="37"/>
      <c r="G6" s="37" t="s">
        <v>19</v>
      </c>
      <c r="H6" s="38" t="str">
        <f ca="1" t="shared" ref="H6" si="3">LEFT(TEXT(H5,"ddd"),1)</f>
        <v>M</v>
      </c>
      <c r="I6" s="38" t="str">
        <f ca="1" t="shared" ref="I6:AQ6" si="4">LEFT(TEXT(I5,"ddd"),1)</f>
        <v>T</v>
      </c>
      <c r="J6" s="38" t="str">
        <f ca="1" t="shared" si="4"/>
        <v>W</v>
      </c>
      <c r="K6" s="38" t="str">
        <f ca="1" t="shared" si="4"/>
        <v>T</v>
      </c>
      <c r="L6" s="39" t="str">
        <f ca="1" t="shared" si="4"/>
        <v>F</v>
      </c>
      <c r="M6" s="38" t="str">
        <f ca="1" t="shared" si="4"/>
        <v>S</v>
      </c>
      <c r="N6" s="38" t="str">
        <f ca="1" t="shared" si="4"/>
        <v>S</v>
      </c>
      <c r="O6" s="38" t="str">
        <f ca="1" t="shared" si="4"/>
        <v>M</v>
      </c>
      <c r="P6" s="38" t="str">
        <f ca="1" t="shared" si="4"/>
        <v>T</v>
      </c>
      <c r="Q6" s="38" t="str">
        <f ca="1" t="shared" si="4"/>
        <v>W</v>
      </c>
      <c r="R6" s="38" t="str">
        <f ca="1" t="shared" si="4"/>
        <v>T</v>
      </c>
      <c r="S6" s="38" t="str">
        <f ca="1" t="shared" si="4"/>
        <v>F</v>
      </c>
      <c r="T6" s="38" t="str">
        <f ca="1" t="shared" si="4"/>
        <v>S</v>
      </c>
      <c r="U6" s="38" t="str">
        <f ca="1" t="shared" si="4"/>
        <v>S</v>
      </c>
      <c r="V6" s="38" t="str">
        <f ca="1" t="shared" si="4"/>
        <v>M</v>
      </c>
      <c r="W6" s="38" t="str">
        <f ca="1" t="shared" si="4"/>
        <v>T</v>
      </c>
      <c r="X6" s="38" t="str">
        <f ca="1" t="shared" si="4"/>
        <v>W</v>
      </c>
      <c r="Y6" s="38" t="str">
        <f ca="1" t="shared" si="4"/>
        <v>T</v>
      </c>
      <c r="Z6" s="38" t="str">
        <f ca="1" t="shared" si="4"/>
        <v>F</v>
      </c>
      <c r="AA6" s="38" t="str">
        <f ca="1" t="shared" si="4"/>
        <v>S</v>
      </c>
      <c r="AB6" s="38" t="str">
        <f ca="1" t="shared" si="4"/>
        <v>S</v>
      </c>
      <c r="AC6" s="38" t="str">
        <f ca="1" t="shared" si="4"/>
        <v>M</v>
      </c>
      <c r="AD6" s="38" t="str">
        <f ca="1" t="shared" si="4"/>
        <v>T</v>
      </c>
      <c r="AE6" s="38" t="str">
        <f ca="1" t="shared" si="4"/>
        <v>W</v>
      </c>
      <c r="AF6" s="38" t="str">
        <f ca="1" t="shared" si="4"/>
        <v>T</v>
      </c>
      <c r="AG6" s="39" t="str">
        <f ca="1" t="shared" si="4"/>
        <v>F</v>
      </c>
      <c r="AH6" s="38" t="str">
        <f ca="1" t="shared" si="4"/>
        <v>S</v>
      </c>
      <c r="AI6" s="38" t="str">
        <f ca="1" t="shared" si="4"/>
        <v>S</v>
      </c>
      <c r="AJ6" s="38" t="str">
        <f ca="1" t="shared" si="4"/>
        <v>M</v>
      </c>
      <c r="AK6" s="38" t="str">
        <f ca="1" t="shared" si="4"/>
        <v>T</v>
      </c>
      <c r="AL6" s="38" t="str">
        <f ca="1" t="shared" si="4"/>
        <v>W</v>
      </c>
      <c r="AM6" s="38" t="str">
        <f ca="1" t="shared" si="4"/>
        <v>T</v>
      </c>
      <c r="AN6" s="38" t="str">
        <f ca="1" t="shared" si="4"/>
        <v>F</v>
      </c>
      <c r="AO6" s="38" t="str">
        <f ca="1" t="shared" si="4"/>
        <v>S</v>
      </c>
      <c r="AP6" s="38" t="str">
        <f ca="1" t="shared" si="4"/>
        <v>S</v>
      </c>
      <c r="AQ6" s="38" t="str">
        <f ca="1" t="shared" si="4"/>
        <v>M</v>
      </c>
      <c r="AR6" s="39" t="str">
        <f ca="1" t="shared" ref="AR6:BK6" si="5">LEFT(TEXT(AR5,"ddd"),1)</f>
        <v>T</v>
      </c>
      <c r="AS6" s="38" t="str">
        <f ca="1" t="shared" si="5"/>
        <v>W</v>
      </c>
      <c r="AT6" s="38" t="str">
        <f ca="1" t="shared" si="5"/>
        <v>T</v>
      </c>
      <c r="AU6" s="39" t="str">
        <f ca="1" t="shared" si="5"/>
        <v>F</v>
      </c>
      <c r="AV6" s="38" t="str">
        <f ca="1" t="shared" si="5"/>
        <v>S</v>
      </c>
      <c r="AW6" s="38" t="str">
        <f ca="1" t="shared" si="5"/>
        <v>S</v>
      </c>
      <c r="AX6" s="38" t="str">
        <f ca="1" t="shared" si="5"/>
        <v>M</v>
      </c>
      <c r="AY6" s="38" t="str">
        <f ca="1" t="shared" si="5"/>
        <v>T</v>
      </c>
      <c r="AZ6" s="38" t="str">
        <f ca="1" t="shared" si="5"/>
        <v>W</v>
      </c>
      <c r="BA6" s="38" t="str">
        <f ca="1" t="shared" si="5"/>
        <v>T</v>
      </c>
      <c r="BB6" s="38" t="str">
        <f ca="1" t="shared" si="5"/>
        <v>F</v>
      </c>
      <c r="BC6" s="38" t="str">
        <f ca="1" t="shared" si="5"/>
        <v>S</v>
      </c>
      <c r="BD6" s="38" t="str">
        <f ca="1" t="shared" si="5"/>
        <v>S</v>
      </c>
      <c r="BE6" s="38" t="str">
        <f ca="1" t="shared" si="5"/>
        <v>M</v>
      </c>
      <c r="BF6" s="38" t="str">
        <f ca="1" t="shared" si="5"/>
        <v>T</v>
      </c>
      <c r="BG6" s="38" t="str">
        <f ca="1" t="shared" si="5"/>
        <v>W</v>
      </c>
      <c r="BH6" s="38" t="str">
        <f ca="1" t="shared" si="5"/>
        <v>T</v>
      </c>
      <c r="BI6" s="38" t="str">
        <f ca="1" t="shared" si="5"/>
        <v>F</v>
      </c>
      <c r="BJ6" s="38" t="str">
        <f ca="1" t="shared" si="5"/>
        <v>S</v>
      </c>
      <c r="BK6" s="38" t="str">
        <f ca="1" t="shared" si="5"/>
        <v>S</v>
      </c>
    </row>
    <row r="7" hidden="1" customHeight="1" spans="1:63">
      <c r="A7" s="14" t="s">
        <v>20</v>
      </c>
      <c r="D7"/>
      <c r="G7" t="str">
        <f>IF(OR(ISBLANK(task_start),ISBLANK(task_end)),"",task_end-task_start+1)</f>
        <v/>
      </c>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1"/>
      <c r="BG7" s="40"/>
      <c r="BH7" s="40"/>
      <c r="BI7" s="40"/>
      <c r="BJ7" s="40"/>
      <c r="BK7" s="40"/>
    </row>
    <row r="8" s="13" customFormat="1" customHeight="1" spans="1:63">
      <c r="A8" s="16" t="s">
        <v>21</v>
      </c>
      <c r="B8" s="42" t="s">
        <v>22</v>
      </c>
      <c r="C8" s="43"/>
      <c r="D8" s="44"/>
      <c r="E8" s="45"/>
      <c r="F8" s="46"/>
      <c r="G8" s="46" t="str">
        <f>IF(OR(ISBLANK(task_start),ISBLANK(task_end)),"",task_end-task_start+1)</f>
        <v/>
      </c>
      <c r="H8" s="40"/>
      <c r="I8" s="40"/>
      <c r="J8" s="40"/>
      <c r="K8" s="40"/>
      <c r="L8" s="40"/>
      <c r="M8" s="40"/>
      <c r="N8" s="40"/>
      <c r="O8" s="40"/>
      <c r="P8" s="40"/>
      <c r="Q8" s="40"/>
      <c r="R8" s="40"/>
      <c r="S8" s="47"/>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8"/>
      <c r="BG8" s="40"/>
      <c r="BH8" s="40"/>
      <c r="BI8" s="40"/>
      <c r="BJ8" s="40"/>
      <c r="BK8" s="40"/>
    </row>
    <row r="9" s="13" customFormat="1" customHeight="1" spans="1:63">
      <c r="A9" s="16" t="s">
        <v>23</v>
      </c>
      <c r="B9" s="49" t="s">
        <v>24</v>
      </c>
      <c r="C9" s="50"/>
      <c r="D9" s="51">
        <f ca="1">Project_Start</f>
        <v>45968</v>
      </c>
      <c r="E9" s="51">
        <f ca="1">D9+9</f>
        <v>45977</v>
      </c>
      <c r="F9" s="46"/>
      <c r="G9" s="46">
        <f ca="1">IF(OR(ISBLANK(task_start),ISBLANK(task_end)),"",task_end-task_start+1)</f>
        <v>10</v>
      </c>
      <c r="H9" s="40"/>
      <c r="I9" s="40"/>
      <c r="J9" s="40"/>
      <c r="K9" s="40"/>
      <c r="L9" s="40"/>
      <c r="M9" s="40"/>
      <c r="N9" s="40"/>
      <c r="O9" s="40"/>
      <c r="P9" s="40"/>
      <c r="Q9" s="40"/>
      <c r="R9" s="40"/>
      <c r="S9" s="47"/>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8"/>
      <c r="BG9" s="40"/>
      <c r="BH9" s="40"/>
      <c r="BI9" s="40"/>
      <c r="BJ9" s="40"/>
      <c r="BK9" s="40"/>
    </row>
    <row r="10" s="13" customFormat="1" customHeight="1" spans="1:63">
      <c r="A10" s="16" t="s">
        <v>25</v>
      </c>
      <c r="B10" s="49" t="s">
        <v>26</v>
      </c>
      <c r="C10" s="50"/>
      <c r="D10" s="51">
        <f ca="1">D9</f>
        <v>45968</v>
      </c>
      <c r="E10" s="51">
        <f ca="1">D10+25</f>
        <v>45993</v>
      </c>
      <c r="F10" s="46"/>
      <c r="G10" s="46">
        <f ca="1">IF(OR(ISBLANK(task_start),ISBLANK(task_end)),"",task_end-task_start+1)</f>
        <v>26</v>
      </c>
      <c r="H10" s="40"/>
      <c r="I10" s="40"/>
      <c r="J10" s="40"/>
      <c r="K10" s="40"/>
      <c r="L10" s="40"/>
      <c r="M10" s="40"/>
      <c r="N10" s="40"/>
      <c r="O10" s="40"/>
      <c r="P10" s="40"/>
      <c r="Q10" s="40"/>
      <c r="R10" s="40"/>
      <c r="S10" s="47"/>
      <c r="T10" s="40"/>
      <c r="U10" s="52"/>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8"/>
      <c r="BG10" s="40"/>
      <c r="BH10" s="40"/>
      <c r="BI10" s="40"/>
      <c r="BJ10" s="40"/>
      <c r="BK10" s="40"/>
    </row>
    <row r="11" s="13" customFormat="1" customHeight="1" spans="1:63">
      <c r="A11" s="14"/>
      <c r="B11" s="49" t="s">
        <v>27</v>
      </c>
      <c r="C11" s="50"/>
      <c r="D11" s="51">
        <f ca="1">E10-7</f>
        <v>45986</v>
      </c>
      <c r="E11" s="51">
        <f ca="1">D11+14</f>
        <v>46000</v>
      </c>
      <c r="F11" s="46"/>
      <c r="G11" s="46">
        <f ca="1">IF(OR(ISBLANK(task_start),ISBLANK(task_end)),"",task_end-task_start+1)</f>
        <v>15</v>
      </c>
      <c r="H11" s="40"/>
      <c r="I11" s="40"/>
      <c r="J11" s="40"/>
      <c r="K11" s="40"/>
      <c r="L11" s="40"/>
      <c r="M11" s="40"/>
      <c r="N11" s="40"/>
      <c r="O11" s="40"/>
      <c r="P11" s="40"/>
      <c r="Q11" s="40"/>
      <c r="R11" s="40"/>
      <c r="S11" s="47"/>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8"/>
      <c r="BG11" s="40"/>
      <c r="BH11" s="40"/>
      <c r="BI11" s="40"/>
      <c r="BJ11" s="40"/>
      <c r="BK11" s="40"/>
    </row>
    <row r="12" s="13" customFormat="1" customHeight="1" spans="1:63">
      <c r="A12" s="14"/>
      <c r="B12" s="49" t="s">
        <v>28</v>
      </c>
      <c r="C12" s="50"/>
      <c r="D12" s="51">
        <f ca="1">E11-6</f>
        <v>45994</v>
      </c>
      <c r="E12" s="51">
        <f ca="1">D12+13</f>
        <v>46007</v>
      </c>
      <c r="F12" s="46"/>
      <c r="G12" s="46">
        <f ca="1">IF(OR(ISBLANK(task_start),ISBLANK(task_end)),"",task_end-task_start+1)</f>
        <v>14</v>
      </c>
      <c r="H12" s="40"/>
      <c r="I12" s="40"/>
      <c r="J12" s="40"/>
      <c r="K12" s="40"/>
      <c r="L12" s="40"/>
      <c r="M12" s="40"/>
      <c r="N12" s="40"/>
      <c r="O12" s="40"/>
      <c r="P12" s="40"/>
      <c r="Q12" s="40"/>
      <c r="R12" s="40"/>
      <c r="S12" s="47"/>
      <c r="T12" s="40"/>
      <c r="U12" s="40"/>
      <c r="V12" s="40"/>
      <c r="W12" s="40"/>
      <c r="X12" s="52"/>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8"/>
      <c r="BG12" s="40"/>
      <c r="BH12" s="40"/>
      <c r="BI12" s="40"/>
      <c r="BJ12" s="40"/>
      <c r="BK12" s="40"/>
    </row>
    <row r="13" s="13" customFormat="1" customHeight="1" spans="1:63">
      <c r="A13" s="14"/>
      <c r="B13" s="49" t="s">
        <v>29</v>
      </c>
      <c r="C13" s="50"/>
      <c r="D13" s="51">
        <f ca="1">E10+2</f>
        <v>45995</v>
      </c>
      <c r="E13" s="51">
        <f ca="1">D13+20</f>
        <v>46015</v>
      </c>
      <c r="F13" s="46"/>
      <c r="G13" s="46">
        <f ca="1">IF(OR(ISBLANK(task_start),ISBLANK(task_end)),"",task_end-task_start+1)</f>
        <v>21</v>
      </c>
      <c r="H13" s="40"/>
      <c r="I13" s="40"/>
      <c r="J13" s="40"/>
      <c r="K13" s="40"/>
      <c r="L13" s="40"/>
      <c r="M13" s="40"/>
      <c r="N13" s="40"/>
      <c r="O13" s="40"/>
      <c r="P13" s="40"/>
      <c r="Q13" s="40"/>
      <c r="R13" s="40"/>
      <c r="S13" s="47"/>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8"/>
      <c r="BG13" s="40"/>
      <c r="BH13" s="40"/>
      <c r="BI13" s="40"/>
      <c r="BJ13" s="40"/>
      <c r="BK13" s="40"/>
    </row>
    <row r="14" s="13" customFormat="1" customHeight="1" spans="1:63">
      <c r="A14" s="16" t="s">
        <v>30</v>
      </c>
      <c r="B14" s="49" t="s">
        <v>31</v>
      </c>
      <c r="C14" s="50"/>
      <c r="D14" s="51">
        <f ca="1">E12+1</f>
        <v>46008</v>
      </c>
      <c r="E14" s="51">
        <f ca="1">E13</f>
        <v>46015</v>
      </c>
      <c r="F14" s="46"/>
      <c r="G14" s="46"/>
      <c r="H14" s="40"/>
      <c r="I14" s="40"/>
      <c r="J14" s="40"/>
      <c r="K14" s="40"/>
      <c r="L14" s="40"/>
      <c r="M14" s="40"/>
      <c r="N14" s="40"/>
      <c r="O14" s="40"/>
      <c r="P14" s="40"/>
      <c r="Q14" s="40"/>
      <c r="R14" s="40"/>
      <c r="S14" s="47"/>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8"/>
      <c r="BG14" s="40"/>
      <c r="BH14" s="40"/>
      <c r="BI14" s="40"/>
      <c r="BJ14" s="40"/>
      <c r="BK14" s="40"/>
    </row>
    <row r="15" s="13" customFormat="1" customHeight="1" spans="1:63">
      <c r="A15" s="16"/>
      <c r="B15" s="53"/>
      <c r="C15" s="54"/>
      <c r="D15" s="55"/>
      <c r="E15" s="55"/>
      <c r="F15" s="46"/>
      <c r="G15" s="46"/>
      <c r="H15" s="40"/>
      <c r="I15" s="40"/>
      <c r="J15" s="40"/>
      <c r="K15" s="40"/>
      <c r="L15" s="40"/>
      <c r="M15" s="40"/>
      <c r="N15" s="40"/>
      <c r="O15" s="40"/>
      <c r="P15" s="40"/>
      <c r="Q15" s="40"/>
      <c r="R15" s="40"/>
      <c r="S15" s="47"/>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8"/>
      <c r="BG15" s="40"/>
      <c r="BH15" s="40"/>
      <c r="BI15" s="40"/>
      <c r="BJ15" s="40"/>
      <c r="BK15" s="40"/>
    </row>
    <row r="16" s="13" customFormat="1" customHeight="1" spans="1:63">
      <c r="A16" s="14"/>
      <c r="B16" s="53"/>
      <c r="C16" s="54"/>
      <c r="D16" s="55"/>
      <c r="E16" s="55"/>
      <c r="F16" s="46"/>
      <c r="G16" s="46"/>
      <c r="H16" s="40"/>
      <c r="I16" s="40"/>
      <c r="J16" s="40"/>
      <c r="K16" s="40"/>
      <c r="L16" s="40"/>
      <c r="M16" s="40"/>
      <c r="N16" s="40"/>
      <c r="O16" s="40"/>
      <c r="P16" s="40"/>
      <c r="Q16" s="40"/>
      <c r="R16" s="40"/>
      <c r="S16" s="47"/>
      <c r="T16" s="52"/>
      <c r="U16" s="52"/>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8"/>
      <c r="BG16" s="40"/>
      <c r="BH16" s="40"/>
      <c r="BI16" s="40"/>
      <c r="BJ16" s="40"/>
      <c r="BK16" s="40"/>
    </row>
    <row r="17" s="13" customFormat="1" customHeight="1" spans="1:63">
      <c r="A17" s="14"/>
      <c r="B17" s="53"/>
      <c r="C17" s="54"/>
      <c r="D17" s="55"/>
      <c r="E17" s="55"/>
      <c r="F17" s="46"/>
      <c r="G17" s="46"/>
      <c r="H17" s="40"/>
      <c r="I17" s="40"/>
      <c r="J17" s="40"/>
      <c r="K17" s="40"/>
      <c r="L17" s="40"/>
      <c r="M17" s="40"/>
      <c r="N17" s="40"/>
      <c r="O17" s="40"/>
      <c r="P17" s="40"/>
      <c r="Q17" s="40"/>
      <c r="R17" s="40"/>
      <c r="S17" s="47"/>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8"/>
      <c r="BG17" s="40"/>
      <c r="BH17" s="40"/>
      <c r="BI17" s="40"/>
      <c r="BJ17" s="40"/>
      <c r="BK17" s="40"/>
    </row>
    <row r="18" s="13" customFormat="1" customHeight="1" spans="1:63">
      <c r="A18" s="14"/>
      <c r="B18" s="53"/>
      <c r="C18" s="54"/>
      <c r="D18" s="55"/>
      <c r="E18" s="55"/>
      <c r="F18" s="46"/>
      <c r="G18" s="46"/>
      <c r="H18" s="40"/>
      <c r="I18" s="40"/>
      <c r="J18" s="40"/>
      <c r="K18" s="40"/>
      <c r="L18" s="40"/>
      <c r="M18" s="40"/>
      <c r="N18" s="40"/>
      <c r="O18" s="40"/>
      <c r="P18" s="40"/>
      <c r="Q18" s="40"/>
      <c r="R18" s="40"/>
      <c r="S18" s="47"/>
      <c r="T18" s="40"/>
      <c r="U18" s="40"/>
      <c r="V18" s="40"/>
      <c r="W18" s="40"/>
      <c r="X18" s="52"/>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8"/>
      <c r="BG18" s="40"/>
      <c r="BH18" s="40"/>
      <c r="BI18" s="40"/>
      <c r="BJ18" s="40"/>
      <c r="BK18" s="40"/>
    </row>
    <row r="19" s="13" customFormat="1" customHeight="1" spans="1:63">
      <c r="A19" s="14"/>
      <c r="B19" s="53"/>
      <c r="C19" s="54"/>
      <c r="D19" s="55"/>
      <c r="E19" s="55"/>
      <c r="F19" s="46"/>
      <c r="G19" s="46"/>
      <c r="H19" s="40"/>
      <c r="I19" s="40"/>
      <c r="J19" s="40"/>
      <c r="K19" s="40"/>
      <c r="L19" s="40"/>
      <c r="M19" s="40"/>
      <c r="N19" s="40"/>
      <c r="O19" s="40"/>
      <c r="P19" s="40"/>
      <c r="Q19" s="40"/>
      <c r="R19" s="40"/>
      <c r="S19" s="47"/>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8"/>
      <c r="BG19" s="40"/>
      <c r="BH19" s="40"/>
      <c r="BI19" s="40"/>
      <c r="BJ19" s="40"/>
      <c r="BK19" s="40"/>
    </row>
    <row r="20" s="13" customFormat="1" customHeight="1" spans="1:63">
      <c r="A20" s="14" t="s">
        <v>32</v>
      </c>
      <c r="B20" s="56"/>
      <c r="C20" s="57"/>
      <c r="D20" s="58"/>
      <c r="E20" s="59"/>
      <c r="F20" s="46"/>
      <c r="G20" s="46"/>
      <c r="H20" s="40"/>
      <c r="I20" s="40"/>
      <c r="J20" s="40"/>
      <c r="K20" s="40"/>
      <c r="L20" s="40"/>
      <c r="M20" s="40"/>
      <c r="N20" s="40"/>
      <c r="O20" s="40"/>
      <c r="P20" s="40"/>
      <c r="Q20" s="40"/>
      <c r="R20" s="40"/>
      <c r="S20" s="47"/>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8"/>
      <c r="BG20" s="40"/>
      <c r="BH20" s="40"/>
      <c r="BI20" s="40"/>
      <c r="BJ20" s="40"/>
      <c r="BK20" s="40"/>
    </row>
    <row r="21" s="13" customFormat="1" customHeight="1" spans="1:63">
      <c r="A21" s="14"/>
      <c r="B21" s="60"/>
      <c r="C21" s="61"/>
      <c r="D21" s="62"/>
      <c r="E21" s="62"/>
      <c r="F21" s="46"/>
      <c r="G21" s="46"/>
      <c r="H21" s="40"/>
      <c r="I21" s="40"/>
      <c r="J21" s="40"/>
      <c r="K21" s="40"/>
      <c r="L21" s="40"/>
      <c r="M21" s="40"/>
      <c r="N21" s="40"/>
      <c r="O21" s="40"/>
      <c r="P21" s="40"/>
      <c r="Q21" s="40"/>
      <c r="R21" s="40"/>
      <c r="S21" s="47"/>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8"/>
      <c r="BG21" s="40"/>
      <c r="BH21" s="40"/>
      <c r="BI21" s="40"/>
      <c r="BJ21" s="40"/>
      <c r="BK21" s="40"/>
    </row>
    <row r="22" s="13" customFormat="1" customHeight="1" spans="1:63">
      <c r="A22" s="14"/>
      <c r="B22" s="60"/>
      <c r="C22" s="61"/>
      <c r="D22" s="62"/>
      <c r="E22" s="62"/>
      <c r="F22" s="46"/>
      <c r="G22" s="46"/>
      <c r="H22" s="40"/>
      <c r="I22" s="40"/>
      <c r="J22" s="40"/>
      <c r="K22" s="40"/>
      <c r="L22" s="40"/>
      <c r="M22" s="40"/>
      <c r="N22" s="40"/>
      <c r="O22" s="40"/>
      <c r="P22" s="40"/>
      <c r="Q22" s="40"/>
      <c r="R22" s="40"/>
      <c r="S22" s="47"/>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8"/>
      <c r="BG22" s="40"/>
      <c r="BH22" s="40"/>
      <c r="BI22" s="40"/>
      <c r="BJ22" s="40"/>
      <c r="BK22" s="40"/>
    </row>
    <row r="23" s="13" customFormat="1" customHeight="1" spans="1:63">
      <c r="A23" s="14"/>
      <c r="B23" s="60"/>
      <c r="C23" s="61"/>
      <c r="D23" s="62"/>
      <c r="E23" s="62"/>
      <c r="F23" s="46"/>
      <c r="G23" s="46"/>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8"/>
      <c r="BG23" s="40"/>
      <c r="BH23" s="40"/>
      <c r="BI23" s="40"/>
      <c r="BJ23" s="40"/>
      <c r="BK23" s="40"/>
    </row>
    <row r="24" s="13" customFormat="1" customHeight="1" spans="1:63">
      <c r="A24" s="14"/>
      <c r="B24" s="60"/>
      <c r="C24" s="61"/>
      <c r="D24" s="62"/>
      <c r="E24" s="62"/>
      <c r="F24" s="46"/>
      <c r="G24" s="46"/>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8"/>
      <c r="BG24" s="40"/>
      <c r="BH24" s="40"/>
      <c r="BI24" s="40"/>
      <c r="BJ24" s="40"/>
      <c r="BK24" s="40"/>
    </row>
    <row r="25" s="13" customFormat="1" customHeight="1" spans="1:63">
      <c r="A25" s="14"/>
      <c r="B25" s="60"/>
      <c r="C25" s="61"/>
      <c r="D25" s="62"/>
      <c r="E25" s="62"/>
      <c r="F25" s="46"/>
      <c r="G25" s="46"/>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row>
    <row r="26" s="13" customFormat="1" customHeight="1" spans="1:63">
      <c r="A26" s="14" t="s">
        <v>32</v>
      </c>
      <c r="B26" s="63"/>
      <c r="C26" s="64"/>
      <c r="D26" s="65"/>
      <c r="E26" s="66"/>
      <c r="F26" s="46"/>
      <c r="G26" s="46"/>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row>
    <row r="27" s="13" customFormat="1" customHeight="1" spans="1:63">
      <c r="A27" s="14"/>
      <c r="B27" s="67"/>
      <c r="C27" s="68"/>
      <c r="D27" s="69"/>
      <c r="E27" s="69"/>
      <c r="F27" s="46"/>
      <c r="G27" s="46"/>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row>
    <row r="28" s="13" customFormat="1" customHeight="1" spans="1:63">
      <c r="A28" s="14"/>
      <c r="B28" s="67"/>
      <c r="C28" s="68"/>
      <c r="D28" s="69"/>
      <c r="E28" s="69"/>
      <c r="F28" s="46"/>
      <c r="G28" s="46"/>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row>
    <row r="29" s="13" customFormat="1" customHeight="1" spans="1:63">
      <c r="A29" s="14"/>
      <c r="B29" s="67"/>
      <c r="C29" s="68"/>
      <c r="D29" s="69"/>
      <c r="E29" s="69"/>
      <c r="F29" s="46"/>
      <c r="G29" s="46"/>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row>
    <row r="30" s="13" customFormat="1" customHeight="1" spans="1:63">
      <c r="A30" s="14"/>
      <c r="B30" s="67"/>
      <c r="C30" s="68"/>
      <c r="D30" s="69"/>
      <c r="E30" s="69"/>
      <c r="F30" s="46"/>
      <c r="G30" s="46"/>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row>
    <row r="31" s="13" customFormat="1" customHeight="1" spans="1:63">
      <c r="A31" s="14"/>
      <c r="B31" s="67"/>
      <c r="C31" s="68"/>
      <c r="D31" s="69"/>
      <c r="E31" s="69"/>
      <c r="F31" s="46"/>
      <c r="G31" s="46"/>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row>
    <row r="32" s="13" customFormat="1" customHeight="1" spans="1:63">
      <c r="A32" s="14" t="s">
        <v>33</v>
      </c>
      <c r="B32" s="70"/>
      <c r="C32" s="71"/>
      <c r="D32" s="72"/>
      <c r="E32" s="72"/>
      <c r="F32" s="46"/>
      <c r="G32" s="46" t="str">
        <f>IF(OR(ISBLANK(task_start),ISBLANK(task_end)),"",task_end-task_start+1)</f>
        <v/>
      </c>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row>
    <row r="33" s="13" customFormat="1" customHeight="1" spans="1:63">
      <c r="A33" s="14"/>
      <c r="B33" s="70"/>
      <c r="C33" s="71"/>
      <c r="D33" s="72"/>
      <c r="E33" s="72"/>
      <c r="F33" s="46"/>
      <c r="G33" s="46"/>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row>
    <row r="34" s="13" customFormat="1" customHeight="1" spans="1:63">
      <c r="A34" s="16" t="s">
        <v>34</v>
      </c>
      <c r="B34" s="73" t="s">
        <v>35</v>
      </c>
      <c r="C34" s="74"/>
      <c r="D34" s="75"/>
      <c r="E34" s="76"/>
      <c r="F34" s="77"/>
      <c r="G34" s="77" t="str">
        <f>IF(OR(ISBLANK(task_start),ISBLANK(task_end)),"",task_end-task_start+1)</f>
        <v/>
      </c>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row>
    <row r="35" customHeight="1" spans="1:63">
      <c r="F35" s="79"/>
    </row>
    <row r="36" customHeight="1" spans="1:63">
      <c r="E36" s="80"/>
    </row>
  </sheetData>
  <mergeCells count="17">
    <mergeCell ref="D3:E3"/>
    <mergeCell ref="H3:N3"/>
    <mergeCell ref="O3:U3"/>
    <mergeCell ref="V3:AB3"/>
    <mergeCell ref="AC3:AI3"/>
    <mergeCell ref="AJ3:AP3"/>
    <mergeCell ref="AQ3:AW3"/>
    <mergeCell ref="AX3:BD3"/>
    <mergeCell ref="BE3:BK3"/>
    <mergeCell ref="H4:N4"/>
    <mergeCell ref="O4:U4"/>
    <mergeCell ref="V4:AB4"/>
    <mergeCell ref="AC4:AI4"/>
    <mergeCell ref="AJ4:AP4"/>
    <mergeCell ref="AQ4:AW4"/>
    <mergeCell ref="AX4:BD4"/>
    <mergeCell ref="BE4:BK4"/>
  </mergeCells>
  <conditionalFormatting sqref="C7:C34">
    <cfRule type="dataBar" priority="14">
      <dataBar>
        <cfvo type="num" val="0"/>
        <cfvo type="num" val="1"/>
        <color theme="0" tint="-0.249977111117893"/>
      </dataBar>
      <extLst>
        <ext xmlns:x14="http://schemas.microsoft.com/office/spreadsheetml/2009/9/main" uri="{B025F937-C7B1-47D3-B67F-A62EFF666E3E}">
          <x14:id>{971698b8-8941-4b52-a97f-0e12098e1a48}</x14:id>
        </ext>
      </extLst>
    </cfRule>
  </conditionalFormatting>
  <conditionalFormatting sqref="H5:BK34">
    <cfRule type="expression" dxfId="0" priority="33">
      <formula>AND(TODAY()&gt;=H$5,TODAY()&lt;I$5)</formula>
    </cfRule>
  </conditionalFormatting>
  <conditionalFormatting sqref="H7:BK34">
    <cfRule type="expression" dxfId="1" priority="27">
      <formula>AND(task_start&lt;=H$5,ROUNDDOWN((task_end-task_start+1)*task_progress,0)+task_start-1&gt;=H$5)</formula>
    </cfRule>
    <cfRule type="expression" dxfId="2" priority="28"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D4">
      <formula1>1</formula1>
    </dataValidation>
  </dataValidations>
  <printOptions horizontalCentered="1"/>
  <pageMargins left="0.35" right="0.35" top="0.35" bottom="0.5" header="0.3" footer="0.3"/>
  <pageSetup paperSize="9" scale="60" fitToHeight="0" orientation="landscape"/>
  <headerFooter scaleWithDoc="0" differentFirst="1">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971698b8-8941-4b52-a97f-0e12098e1a48}">
            <x14:dataBar minLength="0" maxLength="100" gradient="0">
              <x14:cfvo type="num">
                <xm:f>0</xm:f>
              </x14:cfvo>
              <x14:cfvo type="num">
                <xm:f>1</xm:f>
              </x14:cfvo>
              <x14:negativeFillColor rgb="FFFF0000"/>
              <x14:axisColor rgb="FF000000"/>
            </x14:dataBar>
          </x14:cfRule>
          <xm:sqref>C7:C34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showGridLines="0" workbookViewId="0">
      <selection activeCell="A1" sqref="A1"/>
    </sheetView>
  </sheetViews>
  <sheetFormatPr defaultColWidth="9.14166666666667" defaultRowHeight="12" outlineLevelCol="1"/>
  <cols>
    <col min="1" max="1" width="87.1416666666667" style="4" customWidth="1"/>
    <col min="2" max="16384" width="9.14166666666667" style="5"/>
  </cols>
  <sheetData>
    <row r="1" ht="46.5" customHeight="1"/>
    <row r="2" s="1" customFormat="1" ht="14.25" spans="1:2">
      <c r="A2" s="6" t="s">
        <v>36</v>
      </c>
      <c r="B2" s="6"/>
    </row>
    <row r="3" s="2" customFormat="1" ht="27" customHeight="1" spans="1:2">
      <c r="A3" s="7" t="s">
        <v>37</v>
      </c>
      <c r="B3" s="8"/>
    </row>
    <row r="4" s="3" customFormat="1" ht="25.5" spans="1:2">
      <c r="A4" s="9" t="s">
        <v>38</v>
      </c>
    </row>
    <row r="5" ht="74.1" customHeight="1" spans="1:2">
      <c r="A5" s="10" t="s">
        <v>39</v>
      </c>
    </row>
    <row r="6" ht="26.25" customHeight="1" spans="1:2">
      <c r="A6" s="9" t="s">
        <v>40</v>
      </c>
    </row>
    <row r="7" s="4" customFormat="1" ht="204.95" customHeight="1" spans="1:2">
      <c r="A7" s="11" t="s">
        <v>41</v>
      </c>
    </row>
    <row r="8" s="3" customFormat="1" ht="25.5" spans="1:2">
      <c r="A8" s="9" t="s">
        <v>42</v>
      </c>
    </row>
    <row r="9" ht="54" spans="1:2">
      <c r="A9" s="10" t="s">
        <v>43</v>
      </c>
    </row>
    <row r="10" s="4" customFormat="1" ht="27.95" customHeight="1" spans="1:2">
      <c r="A10" s="12" t="s">
        <v>44</v>
      </c>
    </row>
    <row r="11" s="3" customFormat="1" ht="25.5" spans="1:2">
      <c r="A11" s="9" t="s">
        <v>45</v>
      </c>
    </row>
    <row r="12" ht="27" spans="1:2">
      <c r="A12" s="10" t="s">
        <v>46</v>
      </c>
    </row>
    <row r="13" s="4" customFormat="1" ht="27.95" customHeight="1" spans="1:2">
      <c r="A13" s="12" t="s">
        <v>47</v>
      </c>
    </row>
    <row r="14" s="3" customFormat="1" ht="25.5" spans="1:2">
      <c r="A14" s="9" t="s">
        <v>48</v>
      </c>
    </row>
    <row r="15" ht="75" customHeight="1" spans="1:2">
      <c r="A15" s="10" t="s">
        <v>49</v>
      </c>
    </row>
    <row r="16" ht="81" spans="1:2">
      <c r="A16" s="10" t="s">
        <v>50</v>
      </c>
    </row>
  </sheetData>
  <hyperlinks>
    <hyperlink ref="A13" r:id="rId2" display="Project Management Templates"/>
    <hyperlink ref="A10" r:id="rId3" display="How to Use the Simple Gantt Chart"/>
    <hyperlink ref="A3" r:id="rId4" display="https://www.vertex42.com/ExcelTemplates/simple-gantt-chart.html"/>
    <hyperlink ref="A2" r:id="rId5" display="SIMPLE GANTT CHART by Vertex42.com"/>
  </hyperlinks>
  <pageMargins left="0.5" right="0.5" top="0.5" bottom="0.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C3AD2E1-977A-4D4F-8EE8-D64B5FFADF75}">
  <ds:schemaRefs/>
</ds:datastoreItem>
</file>

<file path=customXml/itemProps2.xml><?xml version="1.0" encoding="utf-8"?>
<ds:datastoreItem xmlns:ds="http://schemas.openxmlformats.org/officeDocument/2006/customXml" ds:itemID="{E4A34E49-7289-4AEA-9593-4F55E04ADB10}">
  <ds:schemaRefs/>
</ds:datastoreItem>
</file>

<file path=customXml/itemProps3.xml><?xml version="1.0" encoding="utf-8"?>
<ds:datastoreItem xmlns:ds="http://schemas.openxmlformats.org/officeDocument/2006/customXml" ds:itemID="{A08B5936-3459-42A4-A090-25703C1EBB2B}">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 Online</Application>
  <HeadingPairs>
    <vt:vector size="2" baseType="variant">
      <vt:variant>
        <vt:lpstr>工作表</vt:lpstr>
      </vt:variant>
      <vt:variant>
        <vt:i4>2</vt:i4>
      </vt:variant>
    </vt:vector>
  </HeadingPairs>
  <TitlesOfParts>
    <vt:vector size="2" baseType="lpstr">
      <vt:lpstr>ProjectSchedule</vt:lpstr>
      <vt:lpstr>About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木流</cp:lastModifiedBy>
  <dcterms:created xsi:type="dcterms:W3CDTF">2021-12-14T20:18:00Z</dcterms:created>
  <dcterms:modified xsi:type="dcterms:W3CDTF">2025-11-07T01:01:18Z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0x010100E62EB69C0910C94AAF9FFBDA456FAD13</vt:lpwstr>
  </property>
  <property fmtid="{D5CDD505-2E9C-101B-9397-08002B2CF9AE}" pid="3" name="ICV">
    <vt:lpwstr>C846FB74956C483A83B6970B92B8FF1F_12</vt:lpwstr>
  </property>
  <property fmtid="{D5CDD505-2E9C-101B-9397-08002B2CF9AE}" pid="4" name="KSOProductBuildVer">
    <vt:lpwstr>2052-12.1.0.23542</vt:lpwstr>
  </property>
</Properties>
</file>